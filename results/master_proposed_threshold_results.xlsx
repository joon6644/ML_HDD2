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데아\ML_HDD2\results\"/>
    </mc:Choice>
  </mc:AlternateContent>
  <xr:revisionPtr revIDLastSave="0" documentId="13_ncr:1_{B49F079E-846F-45AA-9548-0E9352642BBD}" xr6:coauthVersionLast="36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master_proposed_threshold_resul" sheetId="1" r:id="rId1"/>
  </sheets>
  <calcPr calcId="191029"/>
</workbook>
</file>

<file path=xl/calcChain.xml><?xml version="1.0" encoding="utf-8"?>
<calcChain xmlns="http://schemas.openxmlformats.org/spreadsheetml/2006/main">
  <c r="Y1" i="1" l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X30" i="1"/>
  <c r="W31" i="1"/>
  <c r="X31" i="1"/>
  <c r="W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X1" i="1"/>
  <c r="W1" i="1"/>
  <c r="U61" i="1"/>
  <c r="X17" i="1" s="1"/>
  <c r="X32" i="1" l="1"/>
  <c r="X16" i="1"/>
  <c r="X15" i="1"/>
  <c r="X14" i="1"/>
  <c r="X13" i="1"/>
  <c r="X29" i="1"/>
  <c r="X28" i="1"/>
  <c r="X12" i="1"/>
  <c r="X27" i="1"/>
  <c r="X11" i="1"/>
  <c r="X26" i="1"/>
  <c r="X10" i="1"/>
  <c r="X9" i="1"/>
  <c r="X25" i="1"/>
  <c r="X8" i="1"/>
  <c r="X24" i="1"/>
  <c r="X7" i="1"/>
  <c r="X23" i="1"/>
  <c r="X22" i="1"/>
  <c r="X6" i="1"/>
  <c r="X21" i="1"/>
  <c r="X5" i="1"/>
  <c r="X20" i="1"/>
  <c r="X4" i="1"/>
  <c r="X19" i="1"/>
  <c r="X3" i="1"/>
  <c r="X18" i="1"/>
  <c r="X2" i="1"/>
  <c r="I62" i="1" l="1"/>
</calcChain>
</file>

<file path=xl/sharedStrings.xml><?xml version="1.0" encoding="utf-8"?>
<sst xmlns="http://schemas.openxmlformats.org/spreadsheetml/2006/main" count="138" uniqueCount="25">
  <si>
    <t>Timestamp</t>
  </si>
  <si>
    <t>Model</t>
  </si>
  <si>
    <t>데이터</t>
  </si>
  <si>
    <t>Seed</t>
  </si>
  <si>
    <t>Threshold</t>
  </si>
  <si>
    <t>LGBM</t>
  </si>
  <si>
    <t>ST12000NM0007</t>
  </si>
  <si>
    <t>XGB</t>
  </si>
  <si>
    <t>LSTM</t>
  </si>
  <si>
    <t>GRU</t>
  </si>
  <si>
    <t>HGST_20HUH721212ALN604</t>
  </si>
  <si>
    <t>TOSHIBA_20MG07ACA14TA</t>
  </si>
  <si>
    <t>리드타임 표준편차</t>
    <phoneticPr fontId="18" type="noConversion"/>
  </si>
  <si>
    <t>gpu</t>
    <phoneticPr fontId="18" type="noConversion"/>
  </si>
  <si>
    <t>램</t>
    <phoneticPr fontId="18" type="noConversion"/>
  </si>
  <si>
    <t>cpu</t>
    <phoneticPr fontId="18" type="noConversion"/>
  </si>
  <si>
    <t>저장장치</t>
    <phoneticPr fontId="18" type="noConversion"/>
  </si>
  <si>
    <t>메인보드</t>
    <phoneticPr fontId="18" type="noConversion"/>
  </si>
  <si>
    <t>케이스</t>
    <phoneticPr fontId="18" type="noConversion"/>
  </si>
  <si>
    <t>파워</t>
    <phoneticPr fontId="18" type="noConversion"/>
  </si>
  <si>
    <t>수냉</t>
    <phoneticPr fontId="18" type="noConversion"/>
  </si>
  <si>
    <t>disk Precision</t>
    <phoneticPr fontId="18" type="noConversion"/>
  </si>
  <si>
    <t>disk Recall</t>
    <phoneticPr fontId="18" type="noConversion"/>
  </si>
  <si>
    <t>disk FAR</t>
    <phoneticPr fontId="18" type="noConversion"/>
  </si>
  <si>
    <t>Median LT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</si>
</sst>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10" xfId="0" applyFont="1" applyFill="1" applyBorder="1">
      <alignment vertical="center"/>
    </xf>
    <xf numFmtId="0" fontId="0" fillId="33" borderId="11" xfId="0" applyFont="1" applyFill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16" fillId="0" borderId="12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표2" displayName="표2" ref="A1:J62" totalsRowCount="1">
  <autoFilter ref="A1:J61" xr:uid="{00000000-0009-0000-0100-000002000000}"/>
  <sortState ref="A2:J61">
    <sortCondition ref="B1:B61"/>
  </sortState>
  <tableColumns count="10">
    <tableColumn id="1" xr3:uid="{00000000-0010-0000-0000-000001000000}" name="Timestamp" dataDxfId="1" totalsRowDxfId="0"/>
    <tableColumn id="2" xr3:uid="{00000000-0010-0000-0000-000002000000}" name="Model"/>
    <tableColumn id="3" xr3:uid="{00000000-0010-0000-0000-000003000000}" name="데이터"/>
    <tableColumn id="4" xr3:uid="{00000000-0010-0000-0000-000004000000}" name="Seed"/>
    <tableColumn id="5" xr3:uid="{00000000-0010-0000-0000-000005000000}" name="Threshold"/>
    <tableColumn id="6" xr3:uid="{00000000-0010-0000-0000-000006000000}" name="disk Precision"/>
    <tableColumn id="7" xr3:uid="{00000000-0010-0000-0000-000007000000}" name="disk Recall"/>
    <tableColumn id="8" xr3:uid="{00000000-0010-0000-0000-000008000000}" name="disk FAR"/>
    <tableColumn id="9" xr3:uid="{00000000-0010-0000-0000-000009000000}" name="Median LT" totalsRowFunction="custom">
      <totalsRowFormula>AVERAGE(표2[Median LT])</totalsRowFormula>
    </tableColumn>
    <tableColumn id="10" xr3:uid="{00000000-0010-0000-0000-00000A000000}" name="리드타임 표준편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tabSelected="1" zoomScale="115" zoomScaleNormal="115" workbookViewId="0">
      <selection activeCell="C15" sqref="C15"/>
    </sheetView>
  </sheetViews>
  <sheetFormatPr defaultRowHeight="16.5" x14ac:dyDescent="0.3"/>
  <cols>
    <col min="1" max="1" width="12.625" customWidth="1"/>
    <col min="2" max="2" width="8.25" customWidth="1"/>
    <col min="3" max="3" width="27.375" bestFit="1" customWidth="1"/>
    <col min="4" max="4" width="6.875" customWidth="1"/>
    <col min="5" max="5" width="11.5" customWidth="1"/>
    <col min="6" max="6" width="10.625" customWidth="1"/>
    <col min="7" max="7" width="7.875" customWidth="1"/>
    <col min="8" max="8" width="6.375" customWidth="1"/>
    <col min="9" max="9" width="15.875" customWidth="1"/>
    <col min="10" max="10" width="18.375" customWidth="1"/>
    <col min="13" max="13" width="8.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  <c r="I1" t="s">
        <v>24</v>
      </c>
      <c r="J1" t="s">
        <v>12</v>
      </c>
      <c r="M1" t="s">
        <v>13</v>
      </c>
      <c r="N1">
        <v>180</v>
      </c>
      <c r="S1" s="3">
        <v>204.5</v>
      </c>
      <c r="U1" s="2">
        <v>143.36000000000001</v>
      </c>
      <c r="W1">
        <f>_xlfn.RANK.AVG(S1,S1:S60,0)</f>
        <v>8</v>
      </c>
      <c r="X1">
        <f>_xlfn.RANK.AVG(U1,U1:U60,0)</f>
        <v>17</v>
      </c>
      <c r="Y1">
        <f>CORREL(W1:W60,X1:X60)</f>
        <v>0.79062828065614887</v>
      </c>
    </row>
    <row r="2" spans="1:25" x14ac:dyDescent="0.3">
      <c r="A2" s="1">
        <v>46239</v>
      </c>
      <c r="B2" t="s">
        <v>9</v>
      </c>
      <c r="C2" t="s">
        <v>10</v>
      </c>
      <c r="D2">
        <v>42</v>
      </c>
      <c r="E2">
        <v>0.16</v>
      </c>
      <c r="F2">
        <v>0.75680000000000003</v>
      </c>
      <c r="G2">
        <v>0.34570000000000001</v>
      </c>
      <c r="H2">
        <v>1.84</v>
      </c>
      <c r="I2">
        <v>143.36000000000001</v>
      </c>
      <c r="J2">
        <v>74.5</v>
      </c>
      <c r="M2" t="s">
        <v>14</v>
      </c>
      <c r="N2">
        <v>150</v>
      </c>
      <c r="S2" s="5">
        <v>222</v>
      </c>
      <c r="U2" s="4">
        <v>156.07</v>
      </c>
      <c r="W2">
        <f t="shared" ref="W2:W60" si="0">_xlfn.RANK.AVG(S2,S2:S61,0)</f>
        <v>5</v>
      </c>
      <c r="X2">
        <f t="shared" ref="X2:X60" si="1">_xlfn.RANK.AVG(U2,U2:U61,0)</f>
        <v>10</v>
      </c>
    </row>
    <row r="3" spans="1:25" x14ac:dyDescent="0.3">
      <c r="A3" s="1">
        <v>46239</v>
      </c>
      <c r="B3" t="s">
        <v>9</v>
      </c>
      <c r="C3" t="s">
        <v>10</v>
      </c>
      <c r="D3">
        <v>43</v>
      </c>
      <c r="E3">
        <v>0.2</v>
      </c>
      <c r="F3">
        <v>0.80279999999999996</v>
      </c>
      <c r="G3">
        <v>0.35189999999999999</v>
      </c>
      <c r="H3">
        <v>1.43</v>
      </c>
      <c r="I3">
        <v>156.07</v>
      </c>
      <c r="J3">
        <v>88</v>
      </c>
      <c r="M3" t="s">
        <v>15</v>
      </c>
      <c r="N3">
        <v>70</v>
      </c>
      <c r="S3" s="3">
        <v>186</v>
      </c>
      <c r="U3" s="2">
        <v>172.68</v>
      </c>
      <c r="W3">
        <f t="shared" si="0"/>
        <v>8</v>
      </c>
      <c r="X3">
        <f t="shared" si="1"/>
        <v>5</v>
      </c>
    </row>
    <row r="4" spans="1:25" x14ac:dyDescent="0.3">
      <c r="A4" s="1">
        <v>46239</v>
      </c>
      <c r="B4" t="s">
        <v>9</v>
      </c>
      <c r="C4" t="s">
        <v>10</v>
      </c>
      <c r="D4">
        <v>44</v>
      </c>
      <c r="E4">
        <v>0.13</v>
      </c>
      <c r="F4">
        <v>0.78669999999999995</v>
      </c>
      <c r="G4">
        <v>0.36420000000000002</v>
      </c>
      <c r="H4">
        <v>1.64</v>
      </c>
      <c r="I4">
        <v>172.68</v>
      </c>
      <c r="J4">
        <v>82</v>
      </c>
      <c r="M4" t="s">
        <v>16</v>
      </c>
      <c r="N4">
        <v>180</v>
      </c>
      <c r="S4" s="5">
        <v>206.5</v>
      </c>
      <c r="U4" s="4">
        <v>148.1</v>
      </c>
      <c r="W4">
        <f t="shared" si="0"/>
        <v>6</v>
      </c>
      <c r="X4">
        <f t="shared" si="1"/>
        <v>13</v>
      </c>
    </row>
    <row r="5" spans="1:25" x14ac:dyDescent="0.3">
      <c r="A5" s="1">
        <v>46239</v>
      </c>
      <c r="B5" t="s">
        <v>9</v>
      </c>
      <c r="C5" t="s">
        <v>10</v>
      </c>
      <c r="D5">
        <v>45</v>
      </c>
      <c r="E5">
        <v>0.19</v>
      </c>
      <c r="F5">
        <v>0.73129999999999995</v>
      </c>
      <c r="G5">
        <v>0.30249999999999999</v>
      </c>
      <c r="H5">
        <v>1.84</v>
      </c>
      <c r="I5">
        <v>148.1</v>
      </c>
      <c r="J5">
        <v>34</v>
      </c>
      <c r="M5" t="s">
        <v>17</v>
      </c>
      <c r="N5">
        <v>30</v>
      </c>
      <c r="S5" s="3">
        <v>173</v>
      </c>
      <c r="U5" s="2">
        <v>147.53</v>
      </c>
      <c r="W5">
        <f t="shared" si="0"/>
        <v>10</v>
      </c>
      <c r="X5">
        <f t="shared" si="1"/>
        <v>13</v>
      </c>
    </row>
    <row r="6" spans="1:25" x14ac:dyDescent="0.3">
      <c r="A6" s="1">
        <v>46239</v>
      </c>
      <c r="B6" t="s">
        <v>9</v>
      </c>
      <c r="C6" t="s">
        <v>10</v>
      </c>
      <c r="D6">
        <v>46</v>
      </c>
      <c r="E6">
        <v>0.17</v>
      </c>
      <c r="F6">
        <v>0.78569999999999995</v>
      </c>
      <c r="G6">
        <v>0.33950000000000002</v>
      </c>
      <c r="H6">
        <v>1.54</v>
      </c>
      <c r="I6">
        <v>147.53</v>
      </c>
      <c r="J6">
        <v>43</v>
      </c>
      <c r="M6" t="s">
        <v>18</v>
      </c>
      <c r="N6">
        <v>10</v>
      </c>
      <c r="S6" s="5">
        <v>49</v>
      </c>
      <c r="U6" s="4">
        <v>90.56</v>
      </c>
      <c r="W6">
        <f t="shared" si="0"/>
        <v>35.5</v>
      </c>
      <c r="X6">
        <f t="shared" si="1"/>
        <v>39</v>
      </c>
    </row>
    <row r="7" spans="1:25" x14ac:dyDescent="0.3">
      <c r="A7" s="1">
        <v>46239</v>
      </c>
      <c r="B7" t="s">
        <v>9</v>
      </c>
      <c r="C7" t="s">
        <v>6</v>
      </c>
      <c r="D7">
        <v>42</v>
      </c>
      <c r="E7">
        <v>0.32</v>
      </c>
      <c r="F7">
        <v>0.70589999999999997</v>
      </c>
      <c r="G7">
        <v>0.37330000000000002</v>
      </c>
      <c r="H7">
        <v>0.96</v>
      </c>
      <c r="I7">
        <v>90.56</v>
      </c>
      <c r="J7">
        <v>17</v>
      </c>
      <c r="M7" t="s">
        <v>19</v>
      </c>
      <c r="N7">
        <v>10</v>
      </c>
      <c r="S7" s="3">
        <v>44</v>
      </c>
      <c r="U7" s="2">
        <v>101.62</v>
      </c>
      <c r="W7">
        <f t="shared" si="0"/>
        <v>42</v>
      </c>
      <c r="X7">
        <f t="shared" si="1"/>
        <v>25</v>
      </c>
    </row>
    <row r="8" spans="1:25" x14ac:dyDescent="0.3">
      <c r="A8" s="1">
        <v>46239</v>
      </c>
      <c r="B8" t="s">
        <v>9</v>
      </c>
      <c r="C8" t="s">
        <v>6</v>
      </c>
      <c r="D8">
        <v>43</v>
      </c>
      <c r="E8">
        <v>0.33</v>
      </c>
      <c r="F8">
        <v>0.69350000000000001</v>
      </c>
      <c r="G8">
        <v>0.38219999999999998</v>
      </c>
      <c r="H8">
        <v>1.04</v>
      </c>
      <c r="I8">
        <v>101.62</v>
      </c>
      <c r="J8">
        <v>22</v>
      </c>
      <c r="M8" t="s">
        <v>20</v>
      </c>
      <c r="N8">
        <v>10</v>
      </c>
      <c r="S8" s="5">
        <v>48</v>
      </c>
      <c r="U8" s="4">
        <v>100.75</v>
      </c>
      <c r="W8">
        <f t="shared" si="0"/>
        <v>37.5</v>
      </c>
      <c r="X8">
        <f t="shared" si="1"/>
        <v>25</v>
      </c>
    </row>
    <row r="9" spans="1:25" x14ac:dyDescent="0.3">
      <c r="A9" s="1">
        <v>46239</v>
      </c>
      <c r="B9" t="s">
        <v>9</v>
      </c>
      <c r="C9" t="s">
        <v>6</v>
      </c>
      <c r="D9">
        <v>44</v>
      </c>
      <c r="E9">
        <v>0.3</v>
      </c>
      <c r="F9">
        <v>0.7016</v>
      </c>
      <c r="G9">
        <v>0.38669999999999999</v>
      </c>
      <c r="H9">
        <v>1.01</v>
      </c>
      <c r="I9">
        <v>100.75</v>
      </c>
      <c r="J9">
        <v>21</v>
      </c>
      <c r="S9" s="3">
        <v>42</v>
      </c>
      <c r="U9" s="2">
        <v>104.87</v>
      </c>
      <c r="W9">
        <f t="shared" si="0"/>
        <v>41</v>
      </c>
      <c r="X9">
        <f t="shared" si="1"/>
        <v>20</v>
      </c>
    </row>
    <row r="10" spans="1:25" x14ac:dyDescent="0.3">
      <c r="A10" s="1">
        <v>46239</v>
      </c>
      <c r="B10" t="s">
        <v>9</v>
      </c>
      <c r="C10" t="s">
        <v>6</v>
      </c>
      <c r="D10">
        <v>45</v>
      </c>
      <c r="E10">
        <v>0.31</v>
      </c>
      <c r="F10">
        <v>0.75680000000000003</v>
      </c>
      <c r="G10">
        <v>0.37330000000000002</v>
      </c>
      <c r="H10">
        <v>0.74</v>
      </c>
      <c r="I10">
        <v>104.87</v>
      </c>
      <c r="J10">
        <v>16.5</v>
      </c>
      <c r="S10" s="5">
        <v>48</v>
      </c>
      <c r="U10" s="4">
        <v>87.99</v>
      </c>
      <c r="W10">
        <f t="shared" si="0"/>
        <v>37</v>
      </c>
      <c r="X10">
        <f t="shared" si="1"/>
        <v>39</v>
      </c>
    </row>
    <row r="11" spans="1:25" x14ac:dyDescent="0.3">
      <c r="A11" s="1">
        <v>46239</v>
      </c>
      <c r="B11" t="s">
        <v>9</v>
      </c>
      <c r="C11" t="s">
        <v>6</v>
      </c>
      <c r="D11">
        <v>46</v>
      </c>
      <c r="E11">
        <v>0.34</v>
      </c>
      <c r="F11">
        <v>0.6583</v>
      </c>
      <c r="G11">
        <v>0.35110000000000002</v>
      </c>
      <c r="H11">
        <v>1.1200000000000001</v>
      </c>
      <c r="I11">
        <v>87.99</v>
      </c>
      <c r="J11">
        <v>13</v>
      </c>
      <c r="S11" s="3">
        <v>85.5</v>
      </c>
      <c r="U11" s="2">
        <v>92.36</v>
      </c>
      <c r="W11">
        <f t="shared" si="0"/>
        <v>23</v>
      </c>
      <c r="X11">
        <f t="shared" si="1"/>
        <v>32</v>
      </c>
    </row>
    <row r="12" spans="1:25" x14ac:dyDescent="0.3">
      <c r="A12" s="1">
        <v>46239</v>
      </c>
      <c r="B12" t="s">
        <v>9</v>
      </c>
      <c r="C12" t="s">
        <v>11</v>
      </c>
      <c r="D12">
        <v>42</v>
      </c>
      <c r="E12">
        <v>0.11</v>
      </c>
      <c r="F12">
        <v>0.72550000000000003</v>
      </c>
      <c r="G12">
        <v>0.35410000000000003</v>
      </c>
      <c r="H12">
        <v>0.75</v>
      </c>
      <c r="I12">
        <v>92.36</v>
      </c>
      <c r="J12">
        <v>42.5</v>
      </c>
      <c r="S12" s="5">
        <v>93</v>
      </c>
      <c r="U12" s="4">
        <v>104.57</v>
      </c>
      <c r="W12">
        <f t="shared" si="0"/>
        <v>16</v>
      </c>
      <c r="X12">
        <f t="shared" si="1"/>
        <v>21</v>
      </c>
    </row>
    <row r="13" spans="1:25" x14ac:dyDescent="0.3">
      <c r="A13" s="1">
        <v>46239</v>
      </c>
      <c r="B13" t="s">
        <v>9</v>
      </c>
      <c r="C13" t="s">
        <v>11</v>
      </c>
      <c r="D13">
        <v>43</v>
      </c>
      <c r="E13">
        <v>0.09</v>
      </c>
      <c r="F13">
        <v>0.68140000000000001</v>
      </c>
      <c r="G13">
        <v>0.36840000000000001</v>
      </c>
      <c r="H13">
        <v>0.97</v>
      </c>
      <c r="I13">
        <v>104.57</v>
      </c>
      <c r="J13">
        <v>51</v>
      </c>
      <c r="S13" s="3">
        <v>87</v>
      </c>
      <c r="U13" s="2">
        <v>97.49</v>
      </c>
      <c r="W13">
        <f t="shared" si="0"/>
        <v>20</v>
      </c>
      <c r="X13">
        <f t="shared" si="1"/>
        <v>26</v>
      </c>
    </row>
    <row r="14" spans="1:25" x14ac:dyDescent="0.3">
      <c r="A14" s="1">
        <v>46239</v>
      </c>
      <c r="B14" t="s">
        <v>9</v>
      </c>
      <c r="C14" t="s">
        <v>11</v>
      </c>
      <c r="D14">
        <v>44</v>
      </c>
      <c r="E14">
        <v>0.1</v>
      </c>
      <c r="F14">
        <v>0.68469999999999998</v>
      </c>
      <c r="G14">
        <v>0.36359999999999998</v>
      </c>
      <c r="H14">
        <v>0.94</v>
      </c>
      <c r="I14">
        <v>97.49</v>
      </c>
      <c r="J14">
        <v>53</v>
      </c>
      <c r="S14" s="5">
        <v>86</v>
      </c>
      <c r="U14" s="4">
        <v>86.55</v>
      </c>
      <c r="W14">
        <f t="shared" si="0"/>
        <v>20</v>
      </c>
      <c r="X14">
        <f t="shared" si="1"/>
        <v>38</v>
      </c>
    </row>
    <row r="15" spans="1:25" x14ac:dyDescent="0.3">
      <c r="A15" s="1">
        <v>46239</v>
      </c>
      <c r="B15" t="s">
        <v>9</v>
      </c>
      <c r="C15" t="s">
        <v>11</v>
      </c>
      <c r="D15">
        <v>45</v>
      </c>
      <c r="E15">
        <v>0.12</v>
      </c>
      <c r="F15">
        <v>0.70179999999999998</v>
      </c>
      <c r="G15">
        <v>0.38279999999999997</v>
      </c>
      <c r="H15">
        <v>0.91</v>
      </c>
      <c r="I15">
        <v>86.55</v>
      </c>
      <c r="J15">
        <v>44.5</v>
      </c>
      <c r="S15" s="3">
        <v>83</v>
      </c>
      <c r="U15" s="2">
        <v>91.39</v>
      </c>
      <c r="W15">
        <f t="shared" si="0"/>
        <v>21</v>
      </c>
      <c r="X15">
        <f t="shared" si="1"/>
        <v>31</v>
      </c>
    </row>
    <row r="16" spans="1:25" x14ac:dyDescent="0.3">
      <c r="A16" s="1">
        <v>46239</v>
      </c>
      <c r="B16" t="s">
        <v>9</v>
      </c>
      <c r="C16" t="s">
        <v>11</v>
      </c>
      <c r="D16">
        <v>46</v>
      </c>
      <c r="E16">
        <v>0.17</v>
      </c>
      <c r="F16">
        <v>0.73629999999999995</v>
      </c>
      <c r="G16">
        <v>0.3206</v>
      </c>
      <c r="H16">
        <v>0.64</v>
      </c>
      <c r="I16">
        <v>91.39</v>
      </c>
      <c r="J16">
        <v>51</v>
      </c>
      <c r="S16" s="5">
        <v>168</v>
      </c>
      <c r="U16" s="4">
        <v>158.16</v>
      </c>
      <c r="W16">
        <f t="shared" si="0"/>
        <v>11.5</v>
      </c>
      <c r="X16">
        <f t="shared" si="1"/>
        <v>8</v>
      </c>
    </row>
    <row r="17" spans="1:24" x14ac:dyDescent="0.3">
      <c r="A17" s="1">
        <v>46239</v>
      </c>
      <c r="B17" t="s">
        <v>5</v>
      </c>
      <c r="C17" t="s">
        <v>10</v>
      </c>
      <c r="D17">
        <v>42</v>
      </c>
      <c r="E17">
        <v>0.99</v>
      </c>
      <c r="F17">
        <v>0.77080000000000004</v>
      </c>
      <c r="G17">
        <v>0.22839999999999999</v>
      </c>
      <c r="H17">
        <v>1.1299999999999999</v>
      </c>
      <c r="I17">
        <v>158.16</v>
      </c>
      <c r="J17">
        <v>37</v>
      </c>
      <c r="S17" s="3">
        <v>169</v>
      </c>
      <c r="U17" s="2">
        <v>167.08</v>
      </c>
      <c r="W17">
        <f t="shared" si="0"/>
        <v>10</v>
      </c>
      <c r="X17">
        <f t="shared" si="1"/>
        <v>7</v>
      </c>
    </row>
    <row r="18" spans="1:24" x14ac:dyDescent="0.3">
      <c r="A18" s="1">
        <v>46239</v>
      </c>
      <c r="B18" t="s">
        <v>5</v>
      </c>
      <c r="C18" t="s">
        <v>10</v>
      </c>
      <c r="D18">
        <v>43</v>
      </c>
      <c r="E18">
        <v>0.78</v>
      </c>
      <c r="F18">
        <v>0.70909999999999995</v>
      </c>
      <c r="G18">
        <v>0.2407</v>
      </c>
      <c r="H18">
        <v>1.64</v>
      </c>
      <c r="I18">
        <v>167.08</v>
      </c>
      <c r="J18">
        <v>35</v>
      </c>
      <c r="S18" s="5">
        <v>167.5</v>
      </c>
      <c r="U18" s="4">
        <v>86.97</v>
      </c>
      <c r="W18">
        <f t="shared" si="0"/>
        <v>11</v>
      </c>
      <c r="X18">
        <f t="shared" si="1"/>
        <v>33</v>
      </c>
    </row>
    <row r="19" spans="1:24" x14ac:dyDescent="0.3">
      <c r="A19" s="1">
        <v>46239</v>
      </c>
      <c r="B19" t="s">
        <v>5</v>
      </c>
      <c r="C19" t="s">
        <v>10</v>
      </c>
      <c r="D19">
        <v>44</v>
      </c>
      <c r="E19">
        <v>0.98</v>
      </c>
      <c r="F19">
        <v>0.76190000000000002</v>
      </c>
      <c r="G19">
        <v>0.19750000000000001</v>
      </c>
      <c r="H19">
        <v>1.02</v>
      </c>
      <c r="I19">
        <v>86.97</v>
      </c>
      <c r="J19">
        <v>17</v>
      </c>
      <c r="S19" s="3">
        <v>134</v>
      </c>
      <c r="U19" s="2">
        <v>152</v>
      </c>
      <c r="W19">
        <f t="shared" si="0"/>
        <v>12</v>
      </c>
      <c r="X19">
        <f t="shared" si="1"/>
        <v>9</v>
      </c>
    </row>
    <row r="20" spans="1:24" x14ac:dyDescent="0.3">
      <c r="A20" s="1">
        <v>46239</v>
      </c>
      <c r="B20" t="s">
        <v>5</v>
      </c>
      <c r="C20" t="s">
        <v>10</v>
      </c>
      <c r="D20">
        <v>45</v>
      </c>
      <c r="E20">
        <v>0.91</v>
      </c>
      <c r="F20">
        <v>0.70830000000000004</v>
      </c>
      <c r="G20">
        <v>0.2099</v>
      </c>
      <c r="H20">
        <v>1.43</v>
      </c>
      <c r="I20">
        <v>152</v>
      </c>
      <c r="J20">
        <v>34.5</v>
      </c>
      <c r="S20" s="5">
        <v>220.5</v>
      </c>
      <c r="U20" s="4">
        <v>151.12</v>
      </c>
      <c r="W20">
        <f t="shared" si="0"/>
        <v>5</v>
      </c>
      <c r="X20">
        <f t="shared" si="1"/>
        <v>9</v>
      </c>
    </row>
    <row r="21" spans="1:24" x14ac:dyDescent="0.3">
      <c r="A21" s="1">
        <v>46239</v>
      </c>
      <c r="B21" t="s">
        <v>5</v>
      </c>
      <c r="C21" t="s">
        <v>10</v>
      </c>
      <c r="D21">
        <v>46</v>
      </c>
      <c r="E21">
        <v>0.82</v>
      </c>
      <c r="F21">
        <v>0.75929999999999997</v>
      </c>
      <c r="G21">
        <v>0.25309999999999999</v>
      </c>
      <c r="H21">
        <v>1.33</v>
      </c>
      <c r="I21">
        <v>151.12</v>
      </c>
      <c r="J21">
        <v>27</v>
      </c>
      <c r="S21" s="3">
        <v>31.5</v>
      </c>
      <c r="U21" s="2">
        <v>91.32</v>
      </c>
      <c r="W21">
        <f t="shared" si="0"/>
        <v>37</v>
      </c>
      <c r="X21">
        <f t="shared" si="1"/>
        <v>27</v>
      </c>
    </row>
    <row r="22" spans="1:24" x14ac:dyDescent="0.3">
      <c r="A22" s="1">
        <v>46239</v>
      </c>
      <c r="B22" t="s">
        <v>5</v>
      </c>
      <c r="C22" t="s">
        <v>6</v>
      </c>
      <c r="D22">
        <v>42</v>
      </c>
      <c r="E22">
        <v>0.08</v>
      </c>
      <c r="F22">
        <v>0.64290000000000003</v>
      </c>
      <c r="G22">
        <v>0.36</v>
      </c>
      <c r="H22">
        <v>1.23</v>
      </c>
      <c r="I22">
        <v>91.32</v>
      </c>
      <c r="J22">
        <v>12</v>
      </c>
      <c r="S22" s="5">
        <v>34</v>
      </c>
      <c r="U22" s="4">
        <v>76.900000000000006</v>
      </c>
      <c r="W22">
        <f t="shared" si="0"/>
        <v>35.5</v>
      </c>
      <c r="X22">
        <f t="shared" si="1"/>
        <v>38</v>
      </c>
    </row>
    <row r="23" spans="1:24" x14ac:dyDescent="0.3">
      <c r="A23" s="1">
        <v>46239</v>
      </c>
      <c r="B23" t="s">
        <v>5</v>
      </c>
      <c r="C23" t="s">
        <v>6</v>
      </c>
      <c r="D23">
        <v>43</v>
      </c>
      <c r="E23">
        <v>7.0000000000000007E-2</v>
      </c>
      <c r="F23">
        <v>0.6512</v>
      </c>
      <c r="G23">
        <v>0.37330000000000002</v>
      </c>
      <c r="H23">
        <v>1.23</v>
      </c>
      <c r="I23">
        <v>76.900000000000006</v>
      </c>
      <c r="J23">
        <v>8.5</v>
      </c>
      <c r="S23" s="3">
        <v>34</v>
      </c>
      <c r="U23" s="2">
        <v>81.209999999999994</v>
      </c>
      <c r="W23">
        <f t="shared" si="0"/>
        <v>35</v>
      </c>
      <c r="X23">
        <f t="shared" si="1"/>
        <v>33</v>
      </c>
    </row>
    <row r="24" spans="1:24" x14ac:dyDescent="0.3">
      <c r="A24" s="1">
        <v>46239</v>
      </c>
      <c r="B24" t="s">
        <v>5</v>
      </c>
      <c r="C24" t="s">
        <v>6</v>
      </c>
      <c r="D24">
        <v>44</v>
      </c>
      <c r="E24">
        <v>0.27</v>
      </c>
      <c r="F24">
        <v>0.5484</v>
      </c>
      <c r="G24">
        <v>0.15110000000000001</v>
      </c>
      <c r="H24">
        <v>0.77</v>
      </c>
      <c r="I24">
        <v>81.209999999999994</v>
      </c>
      <c r="J24">
        <v>10.5</v>
      </c>
      <c r="S24" s="5">
        <v>30</v>
      </c>
      <c r="U24" s="4">
        <v>86.24</v>
      </c>
      <c r="W24">
        <f t="shared" si="0"/>
        <v>36</v>
      </c>
      <c r="X24">
        <f t="shared" si="1"/>
        <v>31</v>
      </c>
    </row>
    <row r="25" spans="1:24" x14ac:dyDescent="0.3">
      <c r="A25" s="1">
        <v>46239</v>
      </c>
      <c r="B25" t="s">
        <v>5</v>
      </c>
      <c r="C25" t="s">
        <v>6</v>
      </c>
      <c r="D25">
        <v>45</v>
      </c>
      <c r="E25">
        <v>0.08</v>
      </c>
      <c r="F25">
        <v>0.69169999999999998</v>
      </c>
      <c r="G25">
        <v>0.36890000000000001</v>
      </c>
      <c r="H25">
        <v>1.01</v>
      </c>
      <c r="I25">
        <v>86.24</v>
      </c>
      <c r="J25">
        <v>11</v>
      </c>
      <c r="S25" s="3">
        <v>26</v>
      </c>
      <c r="U25" s="2">
        <v>77.62</v>
      </c>
      <c r="W25">
        <f t="shared" si="0"/>
        <v>36</v>
      </c>
      <c r="X25">
        <f t="shared" si="1"/>
        <v>35</v>
      </c>
    </row>
    <row r="26" spans="1:24" x14ac:dyDescent="0.3">
      <c r="A26" s="1">
        <v>46239</v>
      </c>
      <c r="B26" t="s">
        <v>5</v>
      </c>
      <c r="C26" t="s">
        <v>6</v>
      </c>
      <c r="D26">
        <v>46</v>
      </c>
      <c r="E26">
        <v>0.12</v>
      </c>
      <c r="F26">
        <v>0.67030000000000001</v>
      </c>
      <c r="G26">
        <v>0.27110000000000001</v>
      </c>
      <c r="H26">
        <v>0.82</v>
      </c>
      <c r="I26">
        <v>77.62</v>
      </c>
      <c r="J26">
        <v>12</v>
      </c>
      <c r="S26" s="5">
        <v>65</v>
      </c>
      <c r="U26" s="4">
        <v>90.12</v>
      </c>
      <c r="W26">
        <f t="shared" si="0"/>
        <v>19.5</v>
      </c>
      <c r="X26">
        <f t="shared" si="1"/>
        <v>27</v>
      </c>
    </row>
    <row r="27" spans="1:24" x14ac:dyDescent="0.3">
      <c r="A27" s="1">
        <v>46239</v>
      </c>
      <c r="B27" t="s">
        <v>5</v>
      </c>
      <c r="C27" t="s">
        <v>11</v>
      </c>
      <c r="D27">
        <v>42</v>
      </c>
      <c r="E27">
        <v>0.13</v>
      </c>
      <c r="F27">
        <v>0.78949999999999998</v>
      </c>
      <c r="G27">
        <v>0.28710000000000002</v>
      </c>
      <c r="H27">
        <v>0.43</v>
      </c>
      <c r="I27">
        <v>90.12</v>
      </c>
      <c r="J27">
        <v>69.5</v>
      </c>
      <c r="S27" s="3">
        <v>51</v>
      </c>
      <c r="U27" s="2">
        <v>80.010000000000005</v>
      </c>
      <c r="W27">
        <f t="shared" si="0"/>
        <v>22</v>
      </c>
      <c r="X27">
        <f t="shared" si="1"/>
        <v>31</v>
      </c>
    </row>
    <row r="28" spans="1:24" x14ac:dyDescent="0.3">
      <c r="A28" s="1">
        <v>46239</v>
      </c>
      <c r="B28" t="s">
        <v>5</v>
      </c>
      <c r="C28" t="s">
        <v>11</v>
      </c>
      <c r="D28">
        <v>43</v>
      </c>
      <c r="E28">
        <v>0.13</v>
      </c>
      <c r="F28">
        <v>0.8</v>
      </c>
      <c r="G28">
        <v>0.36359999999999998</v>
      </c>
      <c r="H28">
        <v>0.51</v>
      </c>
      <c r="I28">
        <v>80.010000000000005</v>
      </c>
      <c r="J28">
        <v>52</v>
      </c>
      <c r="S28" s="5">
        <v>47</v>
      </c>
      <c r="U28" s="4">
        <v>75.27</v>
      </c>
      <c r="W28">
        <f t="shared" si="0"/>
        <v>25.5</v>
      </c>
      <c r="X28">
        <f t="shared" si="1"/>
        <v>33</v>
      </c>
    </row>
    <row r="29" spans="1:24" x14ac:dyDescent="0.3">
      <c r="A29" s="1">
        <v>46239</v>
      </c>
      <c r="B29" t="s">
        <v>5</v>
      </c>
      <c r="C29" t="s">
        <v>11</v>
      </c>
      <c r="D29">
        <v>44</v>
      </c>
      <c r="E29">
        <v>0.13</v>
      </c>
      <c r="F29">
        <v>0.7802</v>
      </c>
      <c r="G29">
        <v>0.3397</v>
      </c>
      <c r="H29">
        <v>0.54</v>
      </c>
      <c r="I29">
        <v>75.27</v>
      </c>
      <c r="J29">
        <v>46</v>
      </c>
      <c r="S29" s="3">
        <v>51</v>
      </c>
      <c r="U29" s="2">
        <v>78.38</v>
      </c>
      <c r="W29">
        <f t="shared" si="0"/>
        <v>21.5</v>
      </c>
      <c r="X29">
        <f t="shared" si="1"/>
        <v>31.5</v>
      </c>
    </row>
    <row r="30" spans="1:24" x14ac:dyDescent="0.3">
      <c r="A30" s="1">
        <v>46239</v>
      </c>
      <c r="B30" t="s">
        <v>5</v>
      </c>
      <c r="C30" t="s">
        <v>11</v>
      </c>
      <c r="D30">
        <v>45</v>
      </c>
      <c r="E30">
        <v>0.13</v>
      </c>
      <c r="F30">
        <v>0.77659999999999996</v>
      </c>
      <c r="G30">
        <v>0.3493</v>
      </c>
      <c r="H30">
        <v>0.56000000000000005</v>
      </c>
      <c r="I30">
        <v>78.38</v>
      </c>
      <c r="J30">
        <v>51</v>
      </c>
      <c r="S30" s="5">
        <v>51</v>
      </c>
      <c r="U30" s="4">
        <v>78.38</v>
      </c>
      <c r="W30">
        <f t="shared" si="0"/>
        <v>21</v>
      </c>
      <c r="X30">
        <f t="shared" si="1"/>
        <v>31</v>
      </c>
    </row>
    <row r="31" spans="1:24" x14ac:dyDescent="0.3">
      <c r="A31" s="1">
        <v>46239</v>
      </c>
      <c r="B31" t="s">
        <v>5</v>
      </c>
      <c r="C31" t="s">
        <v>11</v>
      </c>
      <c r="D31">
        <v>46</v>
      </c>
      <c r="E31">
        <v>0.13</v>
      </c>
      <c r="F31">
        <v>0.77659999999999996</v>
      </c>
      <c r="G31">
        <v>0.3493</v>
      </c>
      <c r="H31">
        <v>0.56000000000000005</v>
      </c>
      <c r="I31">
        <v>78.38</v>
      </c>
      <c r="J31">
        <v>51</v>
      </c>
      <c r="S31" s="3">
        <v>174</v>
      </c>
      <c r="U31" s="2">
        <v>176.85</v>
      </c>
      <c r="W31">
        <f t="shared" si="0"/>
        <v>7.5</v>
      </c>
      <c r="X31">
        <f t="shared" si="1"/>
        <v>4</v>
      </c>
    </row>
    <row r="32" spans="1:24" x14ac:dyDescent="0.3">
      <c r="A32" s="1">
        <v>46239</v>
      </c>
      <c r="B32" t="s">
        <v>8</v>
      </c>
      <c r="C32" t="s">
        <v>10</v>
      </c>
      <c r="D32">
        <v>42</v>
      </c>
      <c r="E32">
        <v>0.09</v>
      </c>
      <c r="F32">
        <v>0.84379999999999999</v>
      </c>
      <c r="G32">
        <v>0.33329999999999999</v>
      </c>
      <c r="H32">
        <v>1.02</v>
      </c>
      <c r="I32">
        <v>176.85</v>
      </c>
      <c r="J32">
        <v>83</v>
      </c>
      <c r="S32" s="5">
        <v>158</v>
      </c>
      <c r="U32" s="4">
        <v>155.13</v>
      </c>
      <c r="W32">
        <f t="shared" si="0"/>
        <v>9</v>
      </c>
      <c r="X32">
        <f t="shared" si="1"/>
        <v>6</v>
      </c>
    </row>
    <row r="33" spans="1:24" x14ac:dyDescent="0.3">
      <c r="A33" s="1">
        <v>46239</v>
      </c>
      <c r="B33" t="s">
        <v>8</v>
      </c>
      <c r="C33" t="s">
        <v>10</v>
      </c>
      <c r="D33">
        <v>43</v>
      </c>
      <c r="E33">
        <v>0.09</v>
      </c>
      <c r="F33">
        <v>0.79410000000000003</v>
      </c>
      <c r="G33">
        <v>0.33329999999999999</v>
      </c>
      <c r="H33">
        <v>1.43</v>
      </c>
      <c r="I33">
        <v>155.13</v>
      </c>
      <c r="J33">
        <v>83</v>
      </c>
      <c r="S33" s="3">
        <v>174</v>
      </c>
      <c r="U33" s="2">
        <v>192.02</v>
      </c>
      <c r="W33">
        <f t="shared" si="0"/>
        <v>7</v>
      </c>
      <c r="X33">
        <f t="shared" si="1"/>
        <v>1</v>
      </c>
    </row>
    <row r="34" spans="1:24" x14ac:dyDescent="0.3">
      <c r="A34" s="1">
        <v>46239</v>
      </c>
      <c r="B34" t="s">
        <v>8</v>
      </c>
      <c r="C34" t="s">
        <v>10</v>
      </c>
      <c r="D34">
        <v>44</v>
      </c>
      <c r="E34">
        <v>0.17</v>
      </c>
      <c r="F34">
        <v>0.80600000000000005</v>
      </c>
      <c r="G34">
        <v>0.33329999999999999</v>
      </c>
      <c r="H34">
        <v>1.33</v>
      </c>
      <c r="I34">
        <v>192.02</v>
      </c>
      <c r="J34">
        <v>84.5</v>
      </c>
      <c r="S34" s="5">
        <v>186.5</v>
      </c>
      <c r="U34" s="4">
        <v>186.33</v>
      </c>
      <c r="W34">
        <f t="shared" si="0"/>
        <v>5</v>
      </c>
      <c r="X34">
        <f t="shared" si="1"/>
        <v>1</v>
      </c>
    </row>
    <row r="35" spans="1:24" x14ac:dyDescent="0.3">
      <c r="A35" s="1">
        <v>46239</v>
      </c>
      <c r="B35" t="s">
        <v>8</v>
      </c>
      <c r="C35" t="s">
        <v>10</v>
      </c>
      <c r="D35">
        <v>45</v>
      </c>
      <c r="E35">
        <v>0.13</v>
      </c>
      <c r="F35">
        <v>0.81820000000000004</v>
      </c>
      <c r="G35">
        <v>0.33329999999999999</v>
      </c>
      <c r="H35">
        <v>1.23</v>
      </c>
      <c r="I35">
        <v>186.33</v>
      </c>
      <c r="J35">
        <v>83.5</v>
      </c>
      <c r="S35" s="3">
        <v>168</v>
      </c>
      <c r="U35" s="2">
        <v>180.27</v>
      </c>
      <c r="W35">
        <f t="shared" si="0"/>
        <v>6</v>
      </c>
      <c r="X35">
        <f t="shared" si="1"/>
        <v>1</v>
      </c>
    </row>
    <row r="36" spans="1:24" x14ac:dyDescent="0.3">
      <c r="A36" s="1">
        <v>46239</v>
      </c>
      <c r="B36" t="s">
        <v>8</v>
      </c>
      <c r="C36" t="s">
        <v>10</v>
      </c>
      <c r="D36">
        <v>46</v>
      </c>
      <c r="E36">
        <v>0.1</v>
      </c>
      <c r="F36">
        <v>0.7671</v>
      </c>
      <c r="G36">
        <v>0.34570000000000001</v>
      </c>
      <c r="H36">
        <v>1.74</v>
      </c>
      <c r="I36">
        <v>180.27</v>
      </c>
      <c r="J36">
        <v>82.5</v>
      </c>
      <c r="S36" s="5">
        <v>37.5</v>
      </c>
      <c r="U36" s="4">
        <v>118.59</v>
      </c>
      <c r="W36">
        <f t="shared" si="0"/>
        <v>22</v>
      </c>
      <c r="X36">
        <f t="shared" si="1"/>
        <v>7</v>
      </c>
    </row>
    <row r="37" spans="1:24" x14ac:dyDescent="0.3">
      <c r="A37" s="1">
        <v>46239</v>
      </c>
      <c r="B37" t="s">
        <v>8</v>
      </c>
      <c r="C37" t="s">
        <v>6</v>
      </c>
      <c r="D37">
        <v>42</v>
      </c>
      <c r="E37">
        <v>0.3</v>
      </c>
      <c r="F37">
        <v>0.64459999999999995</v>
      </c>
      <c r="G37">
        <v>0.34670000000000001</v>
      </c>
      <c r="H37">
        <v>1.18</v>
      </c>
      <c r="I37">
        <v>118.59</v>
      </c>
      <c r="J37">
        <v>34</v>
      </c>
      <c r="S37" s="3">
        <v>47</v>
      </c>
      <c r="U37" s="2">
        <v>110.72</v>
      </c>
      <c r="W37">
        <f t="shared" si="0"/>
        <v>18</v>
      </c>
      <c r="X37">
        <f t="shared" si="1"/>
        <v>8</v>
      </c>
    </row>
    <row r="38" spans="1:24" x14ac:dyDescent="0.3">
      <c r="A38" s="1">
        <v>46239</v>
      </c>
      <c r="B38" t="s">
        <v>8</v>
      </c>
      <c r="C38" t="s">
        <v>6</v>
      </c>
      <c r="D38">
        <v>43</v>
      </c>
      <c r="E38">
        <v>0.33</v>
      </c>
      <c r="F38">
        <v>0.72809999999999997</v>
      </c>
      <c r="G38">
        <v>0.36890000000000001</v>
      </c>
      <c r="H38">
        <v>0.85</v>
      </c>
      <c r="I38">
        <v>110.72</v>
      </c>
      <c r="J38">
        <v>32</v>
      </c>
      <c r="S38" s="5">
        <v>46</v>
      </c>
      <c r="U38" s="4">
        <v>103.44</v>
      </c>
      <c r="W38">
        <f t="shared" si="0"/>
        <v>18</v>
      </c>
      <c r="X38">
        <f t="shared" si="1"/>
        <v>10</v>
      </c>
    </row>
    <row r="39" spans="1:24" x14ac:dyDescent="0.3">
      <c r="A39" s="1">
        <v>46239</v>
      </c>
      <c r="B39" t="s">
        <v>8</v>
      </c>
      <c r="C39" t="s">
        <v>6</v>
      </c>
      <c r="D39">
        <v>44</v>
      </c>
      <c r="E39">
        <v>0.31</v>
      </c>
      <c r="F39">
        <v>0.67330000000000001</v>
      </c>
      <c r="G39">
        <v>0.30220000000000002</v>
      </c>
      <c r="H39">
        <v>0.9</v>
      </c>
      <c r="I39">
        <v>103.44</v>
      </c>
      <c r="J39">
        <v>20.5</v>
      </c>
      <c r="S39" s="3">
        <v>48.5</v>
      </c>
      <c r="U39" s="2">
        <v>127.1</v>
      </c>
      <c r="W39">
        <f t="shared" si="0"/>
        <v>17</v>
      </c>
      <c r="X39">
        <f t="shared" si="1"/>
        <v>5</v>
      </c>
    </row>
    <row r="40" spans="1:24" x14ac:dyDescent="0.3">
      <c r="A40" s="1">
        <v>46239</v>
      </c>
      <c r="B40" t="s">
        <v>8</v>
      </c>
      <c r="C40" t="s">
        <v>6</v>
      </c>
      <c r="D40">
        <v>45</v>
      </c>
      <c r="E40">
        <v>0.31</v>
      </c>
      <c r="F40">
        <v>0.64290000000000003</v>
      </c>
      <c r="G40">
        <v>0.32</v>
      </c>
      <c r="H40">
        <v>1.0900000000000001</v>
      </c>
      <c r="I40">
        <v>127.1</v>
      </c>
      <c r="J40">
        <v>30</v>
      </c>
      <c r="S40" s="5">
        <v>49</v>
      </c>
      <c r="U40" s="4">
        <v>104.62</v>
      </c>
      <c r="W40">
        <f t="shared" si="0"/>
        <v>16</v>
      </c>
      <c r="X40">
        <f t="shared" si="1"/>
        <v>8</v>
      </c>
    </row>
    <row r="41" spans="1:24" x14ac:dyDescent="0.3">
      <c r="A41" s="1">
        <v>46239</v>
      </c>
      <c r="B41" t="s">
        <v>8</v>
      </c>
      <c r="C41" t="s">
        <v>6</v>
      </c>
      <c r="D41">
        <v>46</v>
      </c>
      <c r="E41">
        <v>0.36</v>
      </c>
      <c r="F41">
        <v>0.68930000000000002</v>
      </c>
      <c r="G41">
        <v>0.31559999999999999</v>
      </c>
      <c r="H41">
        <v>0.88</v>
      </c>
      <c r="I41">
        <v>104.62</v>
      </c>
      <c r="J41">
        <v>21</v>
      </c>
      <c r="S41" s="3">
        <v>87.5</v>
      </c>
      <c r="U41" s="2">
        <v>82.82</v>
      </c>
      <c r="W41">
        <f t="shared" si="0"/>
        <v>9</v>
      </c>
      <c r="X41">
        <f t="shared" si="1"/>
        <v>20</v>
      </c>
    </row>
    <row r="42" spans="1:24" x14ac:dyDescent="0.3">
      <c r="A42" s="1">
        <v>46239</v>
      </c>
      <c r="B42" t="s">
        <v>8</v>
      </c>
      <c r="C42" t="s">
        <v>11</v>
      </c>
      <c r="D42">
        <v>42</v>
      </c>
      <c r="E42">
        <v>0.18</v>
      </c>
      <c r="F42">
        <v>0.70369999999999999</v>
      </c>
      <c r="G42">
        <v>0.36359999999999998</v>
      </c>
      <c r="H42">
        <v>0.86</v>
      </c>
      <c r="I42">
        <v>82.82</v>
      </c>
      <c r="J42">
        <v>52</v>
      </c>
      <c r="S42" s="5">
        <v>92</v>
      </c>
      <c r="U42" s="4">
        <v>107.74</v>
      </c>
      <c r="W42">
        <f t="shared" si="0"/>
        <v>6</v>
      </c>
      <c r="X42">
        <f t="shared" si="1"/>
        <v>7</v>
      </c>
    </row>
    <row r="43" spans="1:24" x14ac:dyDescent="0.3">
      <c r="A43" s="1">
        <v>46239</v>
      </c>
      <c r="B43" t="s">
        <v>8</v>
      </c>
      <c r="C43" t="s">
        <v>11</v>
      </c>
      <c r="D43">
        <v>43</v>
      </c>
      <c r="E43">
        <v>0.16</v>
      </c>
      <c r="F43">
        <v>0.67889999999999995</v>
      </c>
      <c r="G43">
        <v>0.35410000000000003</v>
      </c>
      <c r="H43">
        <v>0.94</v>
      </c>
      <c r="I43">
        <v>107.74</v>
      </c>
      <c r="J43">
        <v>61.5</v>
      </c>
      <c r="S43" s="3">
        <v>85</v>
      </c>
      <c r="U43" s="2">
        <v>88.79</v>
      </c>
      <c r="W43">
        <f t="shared" si="0"/>
        <v>8</v>
      </c>
      <c r="X43">
        <f t="shared" si="1"/>
        <v>17</v>
      </c>
    </row>
    <row r="44" spans="1:24" x14ac:dyDescent="0.3">
      <c r="A44" s="1">
        <v>46239</v>
      </c>
      <c r="B44" t="s">
        <v>8</v>
      </c>
      <c r="C44" t="s">
        <v>11</v>
      </c>
      <c r="D44">
        <v>44</v>
      </c>
      <c r="E44">
        <v>0.17</v>
      </c>
      <c r="F44">
        <v>0.70799999999999996</v>
      </c>
      <c r="G44">
        <v>0.38279999999999997</v>
      </c>
      <c r="H44">
        <v>0.89</v>
      </c>
      <c r="I44">
        <v>88.79</v>
      </c>
      <c r="J44">
        <v>50.5</v>
      </c>
      <c r="S44" s="5">
        <v>90</v>
      </c>
      <c r="U44" s="4">
        <v>89.72</v>
      </c>
      <c r="W44">
        <f t="shared" si="0"/>
        <v>6</v>
      </c>
      <c r="X44">
        <f t="shared" si="1"/>
        <v>16</v>
      </c>
    </row>
    <row r="45" spans="1:24" x14ac:dyDescent="0.3">
      <c r="A45" s="1">
        <v>46239</v>
      </c>
      <c r="B45" t="s">
        <v>8</v>
      </c>
      <c r="C45" t="s">
        <v>11</v>
      </c>
      <c r="D45">
        <v>45</v>
      </c>
      <c r="E45">
        <v>0.19</v>
      </c>
      <c r="F45">
        <v>0.75</v>
      </c>
      <c r="G45">
        <v>0.3589</v>
      </c>
      <c r="H45">
        <v>0.67</v>
      </c>
      <c r="I45">
        <v>89.72</v>
      </c>
      <c r="J45">
        <v>52</v>
      </c>
      <c r="S45" s="3">
        <v>88</v>
      </c>
      <c r="U45" s="2">
        <v>93.24</v>
      </c>
      <c r="W45">
        <f t="shared" si="0"/>
        <v>6</v>
      </c>
      <c r="X45">
        <f t="shared" si="1"/>
        <v>13</v>
      </c>
    </row>
    <row r="46" spans="1:24" x14ac:dyDescent="0.3">
      <c r="A46" s="1">
        <v>46239</v>
      </c>
      <c r="B46" t="s">
        <v>8</v>
      </c>
      <c r="C46" t="s">
        <v>11</v>
      </c>
      <c r="D46">
        <v>46</v>
      </c>
      <c r="E46">
        <v>0.12</v>
      </c>
      <c r="F46">
        <v>0.73960000000000004</v>
      </c>
      <c r="G46">
        <v>0.3397</v>
      </c>
      <c r="H46">
        <v>0.67</v>
      </c>
      <c r="I46">
        <v>93.24</v>
      </c>
      <c r="J46">
        <v>38</v>
      </c>
      <c r="S46" s="5">
        <v>223</v>
      </c>
      <c r="U46" s="4">
        <v>119.44</v>
      </c>
      <c r="W46">
        <f t="shared" si="0"/>
        <v>4</v>
      </c>
      <c r="X46">
        <f t="shared" si="1"/>
        <v>5</v>
      </c>
    </row>
    <row r="47" spans="1:24" x14ac:dyDescent="0.3">
      <c r="A47" s="1">
        <v>46239</v>
      </c>
      <c r="B47" t="s">
        <v>7</v>
      </c>
      <c r="C47" t="s">
        <v>10</v>
      </c>
      <c r="D47">
        <v>42</v>
      </c>
      <c r="E47">
        <v>0.47</v>
      </c>
      <c r="F47">
        <v>0.78049999999999997</v>
      </c>
      <c r="G47">
        <v>0.19750000000000001</v>
      </c>
      <c r="H47">
        <v>0.92</v>
      </c>
      <c r="I47">
        <v>119.44</v>
      </c>
      <c r="J47">
        <v>40.5</v>
      </c>
      <c r="S47" s="3">
        <v>243</v>
      </c>
      <c r="U47" s="2">
        <v>153.16</v>
      </c>
      <c r="W47">
        <f t="shared" si="0"/>
        <v>2</v>
      </c>
      <c r="X47">
        <f t="shared" si="1"/>
        <v>3</v>
      </c>
    </row>
    <row r="48" spans="1:24" x14ac:dyDescent="0.3">
      <c r="A48" s="1">
        <v>46239</v>
      </c>
      <c r="B48" t="s">
        <v>7</v>
      </c>
      <c r="C48" t="s">
        <v>10</v>
      </c>
      <c r="D48">
        <v>43</v>
      </c>
      <c r="E48">
        <v>0.44</v>
      </c>
      <c r="F48">
        <v>0.77590000000000003</v>
      </c>
      <c r="G48">
        <v>0.27779999999999999</v>
      </c>
      <c r="H48">
        <v>1.33</v>
      </c>
      <c r="I48">
        <v>153.16</v>
      </c>
      <c r="J48">
        <v>39</v>
      </c>
      <c r="S48" s="5">
        <v>184</v>
      </c>
      <c r="U48" s="4">
        <v>133.66</v>
      </c>
      <c r="W48">
        <f t="shared" si="0"/>
        <v>3</v>
      </c>
      <c r="X48">
        <f t="shared" si="1"/>
        <v>3</v>
      </c>
    </row>
    <row r="49" spans="1:24" x14ac:dyDescent="0.3">
      <c r="A49" s="1">
        <v>46239</v>
      </c>
      <c r="B49" t="s">
        <v>7</v>
      </c>
      <c r="C49" t="s">
        <v>10</v>
      </c>
      <c r="D49">
        <v>44</v>
      </c>
      <c r="E49">
        <v>0.52</v>
      </c>
      <c r="F49">
        <v>0.80559999999999998</v>
      </c>
      <c r="G49">
        <v>0.17899999999999999</v>
      </c>
      <c r="H49">
        <v>0.72</v>
      </c>
      <c r="I49">
        <v>133.66</v>
      </c>
      <c r="J49">
        <v>39</v>
      </c>
      <c r="S49" s="3">
        <v>229</v>
      </c>
      <c r="U49" s="2">
        <v>168.13</v>
      </c>
      <c r="W49">
        <f t="shared" si="0"/>
        <v>2</v>
      </c>
      <c r="X49">
        <f t="shared" si="1"/>
        <v>2</v>
      </c>
    </row>
    <row r="50" spans="1:24" x14ac:dyDescent="0.3">
      <c r="A50" s="1">
        <v>46239</v>
      </c>
      <c r="B50" t="s">
        <v>7</v>
      </c>
      <c r="C50" t="s">
        <v>10</v>
      </c>
      <c r="D50">
        <v>45</v>
      </c>
      <c r="E50">
        <v>0.5</v>
      </c>
      <c r="F50">
        <v>0.8085</v>
      </c>
      <c r="G50">
        <v>0.2346</v>
      </c>
      <c r="H50">
        <v>0.92</v>
      </c>
      <c r="I50">
        <v>168.13</v>
      </c>
      <c r="J50">
        <v>38</v>
      </c>
      <c r="S50" s="5">
        <v>246</v>
      </c>
      <c r="U50" s="4">
        <v>170</v>
      </c>
      <c r="W50">
        <f t="shared" si="0"/>
        <v>1</v>
      </c>
      <c r="X50">
        <f t="shared" si="1"/>
        <v>1</v>
      </c>
    </row>
    <row r="51" spans="1:24" x14ac:dyDescent="0.3">
      <c r="A51" s="1">
        <v>46239</v>
      </c>
      <c r="B51" t="s">
        <v>7</v>
      </c>
      <c r="C51" t="s">
        <v>10</v>
      </c>
      <c r="D51">
        <v>46</v>
      </c>
      <c r="E51">
        <v>0.45</v>
      </c>
      <c r="F51">
        <v>0.77359999999999995</v>
      </c>
      <c r="G51">
        <v>0.25309999999999999</v>
      </c>
      <c r="H51">
        <v>1.23</v>
      </c>
      <c r="I51">
        <v>170</v>
      </c>
      <c r="J51">
        <v>52</v>
      </c>
      <c r="S51" s="3">
        <v>30.5</v>
      </c>
      <c r="U51" s="2">
        <v>93.43</v>
      </c>
      <c r="W51">
        <f t="shared" si="0"/>
        <v>10</v>
      </c>
      <c r="X51">
        <f t="shared" si="1"/>
        <v>7</v>
      </c>
    </row>
    <row r="52" spans="1:24" x14ac:dyDescent="0.3">
      <c r="A52" s="1">
        <v>46239</v>
      </c>
      <c r="B52" t="s">
        <v>7</v>
      </c>
      <c r="C52" t="s">
        <v>6</v>
      </c>
      <c r="D52">
        <v>42</v>
      </c>
      <c r="E52">
        <v>0.11</v>
      </c>
      <c r="F52">
        <v>0.69399999999999995</v>
      </c>
      <c r="G52">
        <v>0.4133</v>
      </c>
      <c r="H52">
        <v>1.1200000000000001</v>
      </c>
      <c r="I52">
        <v>93.43</v>
      </c>
      <c r="J52">
        <v>14</v>
      </c>
      <c r="S52" s="5">
        <v>39</v>
      </c>
      <c r="U52" s="4">
        <v>92.4</v>
      </c>
      <c r="W52">
        <f t="shared" si="0"/>
        <v>7</v>
      </c>
      <c r="X52">
        <f t="shared" si="1"/>
        <v>7</v>
      </c>
    </row>
    <row r="53" spans="1:24" x14ac:dyDescent="0.3">
      <c r="A53" s="1">
        <v>46239</v>
      </c>
      <c r="B53" t="s">
        <v>7</v>
      </c>
      <c r="C53" t="s">
        <v>6</v>
      </c>
      <c r="D53">
        <v>43</v>
      </c>
      <c r="E53">
        <v>0.12</v>
      </c>
      <c r="F53">
        <v>0.71789999999999998</v>
      </c>
      <c r="G53">
        <v>0.37330000000000002</v>
      </c>
      <c r="H53">
        <v>0.9</v>
      </c>
      <c r="I53">
        <v>92.4</v>
      </c>
      <c r="J53">
        <v>12.5</v>
      </c>
      <c r="S53" s="3">
        <v>36</v>
      </c>
      <c r="U53" s="2">
        <v>99.25</v>
      </c>
      <c r="W53">
        <f t="shared" si="0"/>
        <v>8</v>
      </c>
      <c r="X53">
        <f t="shared" si="1"/>
        <v>4</v>
      </c>
    </row>
    <row r="54" spans="1:24" x14ac:dyDescent="0.3">
      <c r="A54" s="1">
        <v>46239</v>
      </c>
      <c r="B54" t="s">
        <v>7</v>
      </c>
      <c r="C54" t="s">
        <v>6</v>
      </c>
      <c r="D54">
        <v>44</v>
      </c>
      <c r="E54">
        <v>0.11</v>
      </c>
      <c r="F54">
        <v>0.66410000000000002</v>
      </c>
      <c r="G54">
        <v>0.38669999999999999</v>
      </c>
      <c r="H54">
        <v>1.2</v>
      </c>
      <c r="I54">
        <v>99.25</v>
      </c>
      <c r="J54">
        <v>14</v>
      </c>
      <c r="S54" s="5">
        <v>41.5</v>
      </c>
      <c r="U54" s="4">
        <v>97.96</v>
      </c>
      <c r="W54">
        <f t="shared" si="0"/>
        <v>6</v>
      </c>
      <c r="X54">
        <f t="shared" si="1"/>
        <v>4</v>
      </c>
    </row>
    <row r="55" spans="1:24" x14ac:dyDescent="0.3">
      <c r="A55" s="1">
        <v>46239</v>
      </c>
      <c r="B55" t="s">
        <v>7</v>
      </c>
      <c r="C55" t="s">
        <v>6</v>
      </c>
      <c r="D55">
        <v>45</v>
      </c>
      <c r="E55">
        <v>0.12</v>
      </c>
      <c r="F55">
        <v>0.6694</v>
      </c>
      <c r="G55">
        <v>0.36890000000000001</v>
      </c>
      <c r="H55">
        <v>1.1200000000000001</v>
      </c>
      <c r="I55">
        <v>97.96</v>
      </c>
      <c r="J55">
        <v>15</v>
      </c>
      <c r="S55" s="3">
        <v>37</v>
      </c>
      <c r="U55" s="2">
        <v>102.67</v>
      </c>
      <c r="W55">
        <f t="shared" si="0"/>
        <v>6</v>
      </c>
      <c r="X55">
        <f t="shared" si="1"/>
        <v>2</v>
      </c>
    </row>
    <row r="56" spans="1:24" x14ac:dyDescent="0.3">
      <c r="A56" s="1">
        <v>46239</v>
      </c>
      <c r="B56" t="s">
        <v>7</v>
      </c>
      <c r="C56" t="s">
        <v>6</v>
      </c>
      <c r="D56">
        <v>46</v>
      </c>
      <c r="E56">
        <v>0.09</v>
      </c>
      <c r="F56">
        <v>0.7319</v>
      </c>
      <c r="G56">
        <v>0.44890000000000002</v>
      </c>
      <c r="H56">
        <v>1.01</v>
      </c>
      <c r="I56">
        <v>102.67</v>
      </c>
      <c r="J56">
        <v>19</v>
      </c>
      <c r="S56" s="5">
        <v>71</v>
      </c>
      <c r="U56" s="4">
        <v>95.7</v>
      </c>
      <c r="W56">
        <f t="shared" si="0"/>
        <v>2</v>
      </c>
      <c r="X56">
        <f t="shared" si="1"/>
        <v>3</v>
      </c>
    </row>
    <row r="57" spans="1:24" x14ac:dyDescent="0.3">
      <c r="A57" s="1">
        <v>46239</v>
      </c>
      <c r="B57" t="s">
        <v>7</v>
      </c>
      <c r="C57" t="s">
        <v>11</v>
      </c>
      <c r="D57">
        <v>42</v>
      </c>
      <c r="E57">
        <v>0.13</v>
      </c>
      <c r="F57">
        <v>0.7177</v>
      </c>
      <c r="G57">
        <v>0.42580000000000001</v>
      </c>
      <c r="H57">
        <v>0.94</v>
      </c>
      <c r="I57">
        <v>95.7</v>
      </c>
      <c r="J57">
        <v>46</v>
      </c>
      <c r="S57" s="3">
        <v>67</v>
      </c>
      <c r="U57" s="2">
        <v>92.23</v>
      </c>
      <c r="W57">
        <f t="shared" si="0"/>
        <v>2</v>
      </c>
      <c r="X57">
        <f t="shared" si="1"/>
        <v>3</v>
      </c>
    </row>
    <row r="58" spans="1:24" x14ac:dyDescent="0.3">
      <c r="A58" s="1">
        <v>46239</v>
      </c>
      <c r="B58" t="s">
        <v>7</v>
      </c>
      <c r="C58" t="s">
        <v>11</v>
      </c>
      <c r="D58">
        <v>43</v>
      </c>
      <c r="E58">
        <v>0.12</v>
      </c>
      <c r="F58">
        <v>0.73040000000000005</v>
      </c>
      <c r="G58">
        <v>0.40189999999999998</v>
      </c>
      <c r="H58">
        <v>0.83</v>
      </c>
      <c r="I58">
        <v>92.23</v>
      </c>
      <c r="J58">
        <v>38</v>
      </c>
      <c r="S58" s="5">
        <v>72.5</v>
      </c>
      <c r="U58" s="4">
        <v>100.42</v>
      </c>
      <c r="W58">
        <f t="shared" si="0"/>
        <v>1</v>
      </c>
      <c r="X58">
        <f t="shared" si="1"/>
        <v>2</v>
      </c>
    </row>
    <row r="59" spans="1:24" x14ac:dyDescent="0.3">
      <c r="A59" s="1">
        <v>46239</v>
      </c>
      <c r="B59" t="s">
        <v>7</v>
      </c>
      <c r="C59" t="s">
        <v>11</v>
      </c>
      <c r="D59">
        <v>44</v>
      </c>
      <c r="E59">
        <v>0.13</v>
      </c>
      <c r="F59">
        <v>0.70489999999999997</v>
      </c>
      <c r="G59">
        <v>0.41149999999999998</v>
      </c>
      <c r="H59">
        <v>0.97</v>
      </c>
      <c r="I59">
        <v>100.42</v>
      </c>
      <c r="J59">
        <v>55</v>
      </c>
      <c r="S59" s="3">
        <v>61.5</v>
      </c>
      <c r="U59" s="2">
        <v>86.82</v>
      </c>
      <c r="W59">
        <f t="shared" si="0"/>
        <v>2</v>
      </c>
      <c r="X59">
        <f t="shared" si="1"/>
        <v>2</v>
      </c>
    </row>
    <row r="60" spans="1:24" ht="17.25" thickBot="1" x14ac:dyDescent="0.35">
      <c r="A60" s="1">
        <v>46239</v>
      </c>
      <c r="B60" t="s">
        <v>7</v>
      </c>
      <c r="C60" t="s">
        <v>11</v>
      </c>
      <c r="D60">
        <v>45</v>
      </c>
      <c r="E60">
        <v>0.15</v>
      </c>
      <c r="F60">
        <v>0.72409999999999997</v>
      </c>
      <c r="G60">
        <v>0.40189999999999998</v>
      </c>
      <c r="H60">
        <v>0.86</v>
      </c>
      <c r="I60">
        <v>86.82</v>
      </c>
      <c r="J60">
        <v>47</v>
      </c>
      <c r="S60" s="5">
        <v>65</v>
      </c>
      <c r="U60" s="4">
        <v>73.319999999999993</v>
      </c>
      <c r="W60">
        <f t="shared" si="0"/>
        <v>1</v>
      </c>
      <c r="X60">
        <f t="shared" si="1"/>
        <v>2</v>
      </c>
    </row>
    <row r="61" spans="1:24" ht="17.25" thickTop="1" x14ac:dyDescent="0.3">
      <c r="A61" s="1">
        <v>46239</v>
      </c>
      <c r="B61" t="s">
        <v>7</v>
      </c>
      <c r="C61" t="s">
        <v>11</v>
      </c>
      <c r="D61">
        <v>46</v>
      </c>
      <c r="E61">
        <v>0.09</v>
      </c>
      <c r="F61">
        <v>0.73599999999999999</v>
      </c>
      <c r="G61">
        <v>0.44019999999999998</v>
      </c>
      <c r="H61">
        <v>0.89</v>
      </c>
      <c r="I61">
        <v>73.319999999999993</v>
      </c>
      <c r="J61">
        <v>41</v>
      </c>
      <c r="U61" s="6">
        <f>AVERAGE(표2[Median LT])</f>
        <v>114.21066666666664</v>
      </c>
    </row>
    <row r="62" spans="1:24" x14ac:dyDescent="0.3">
      <c r="A62" s="1"/>
      <c r="I62">
        <f>AVERAGE(표2[Median LT])</f>
        <v>114.21066666666664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master_proposed_threshold_resul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2026-08-05T10:31:45Z</dcterms:created>
  <dcterms:modified xsi:type="dcterms:W3CDTF">2026-08-05T11:47:10Z</dcterms:modified>
</cp:coreProperties>
</file>